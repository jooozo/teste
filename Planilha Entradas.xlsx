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6d8d0268ce48c6/Área de Trabalho/"/>
    </mc:Choice>
  </mc:AlternateContent>
  <xr:revisionPtr revIDLastSave="28" documentId="8_{87F15B0A-C756-419E-8AD1-12039314F74C}" xr6:coauthVersionLast="47" xr6:coauthVersionMax="47" xr10:uidLastSave="{2A754820-E320-417F-8C33-617BEEECB24A}"/>
  <bookViews>
    <workbookView xWindow="-120" yWindow="-120" windowWidth="38640" windowHeight="21120" activeTab="1" xr2:uid="{8F7F2E81-C3F4-4BFB-87E8-85EB32DB4859}"/>
  </bookViews>
  <sheets>
    <sheet name="Nacional" sheetId="2" r:id="rId1"/>
    <sheet name="Importad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3" l="1"/>
  <c r="Q9" i="3"/>
  <c r="L17" i="3"/>
  <c r="K17" i="3"/>
  <c r="AE12" i="3"/>
  <c r="I12" i="3"/>
  <c r="H9" i="3"/>
  <c r="W9" i="3"/>
  <c r="V9" i="3"/>
  <c r="V12" i="3" s="1"/>
  <c r="S9" i="3"/>
  <c r="N9" i="3"/>
  <c r="K9" i="3"/>
  <c r="K12" i="3" s="1"/>
  <c r="G10" i="2"/>
  <c r="W8" i="2"/>
  <c r="L8" i="2"/>
  <c r="J8" i="2"/>
  <c r="W7" i="2"/>
  <c r="L7" i="2"/>
  <c r="J7" i="2"/>
  <c r="W12" i="3" l="1"/>
  <c r="X9" i="3"/>
  <c r="J10" i="2"/>
  <c r="L9" i="3"/>
  <c r="N7" i="2"/>
  <c r="P7" i="2" s="1"/>
  <c r="N8" i="2"/>
  <c r="P8" i="2" s="1"/>
  <c r="Q8" i="2" s="1"/>
  <c r="AA8" i="2" s="1"/>
  <c r="X12" i="3" l="1"/>
  <c r="Y9" i="3"/>
  <c r="Q7" i="2"/>
  <c r="AA7" i="2" s="1"/>
  <c r="R7" i="2"/>
  <c r="U7" i="2" s="1"/>
  <c r="R8" i="2"/>
  <c r="U8" i="2" s="1"/>
  <c r="Y12" i="3" l="1"/>
  <c r="AD9" i="3"/>
  <c r="AD12" i="3" s="1"/>
  <c r="Z9" i="3"/>
  <c r="T7" i="2"/>
  <c r="AB7" i="2"/>
  <c r="AB8" i="2"/>
  <c r="AC8" i="2" s="1"/>
  <c r="T8" i="2"/>
  <c r="AD8" i="2"/>
  <c r="AE8" i="2" s="1"/>
  <c r="AG8" i="2" s="1"/>
  <c r="AA9" i="3" l="1"/>
  <c r="AC9" i="3"/>
  <c r="AC12" i="3" s="1"/>
  <c r="Z12" i="3"/>
  <c r="AD7" i="2"/>
  <c r="AD10" i="2" s="1"/>
  <c r="AE7" i="2"/>
  <c r="AB10" i="2"/>
  <c r="AC7" i="2"/>
  <c r="AF8" i="2"/>
  <c r="AA12" i="3" l="1"/>
  <c r="AF9" i="3"/>
  <c r="AE10" i="2"/>
  <c r="AG7" i="2"/>
  <c r="AF7" i="2"/>
  <c r="AI7" i="2" s="1"/>
  <c r="AJ7" i="2" s="1"/>
  <c r="AC10" i="2"/>
  <c r="AI8" i="2"/>
  <c r="AJ8" i="2" s="1"/>
  <c r="AG9" i="3" l="1"/>
  <c r="AF12" i="3"/>
  <c r="R9" i="3"/>
  <c r="AF10" i="2"/>
  <c r="S8" i="2"/>
  <c r="AI10" i="2"/>
  <c r="S7" i="2"/>
  <c r="R12" i="3" l="1"/>
  <c r="AG12" i="3"/>
  <c r="AJ10" i="2"/>
  <c r="S10" i="2" s="1"/>
</calcChain>
</file>

<file path=xl/sharedStrings.xml><?xml version="1.0" encoding="utf-8"?>
<sst xmlns="http://schemas.openxmlformats.org/spreadsheetml/2006/main" count="93" uniqueCount="64">
  <si>
    <t>Cod. VAIP</t>
  </si>
  <si>
    <t>Nome do Produto</t>
  </si>
  <si>
    <t>Qtd</t>
  </si>
  <si>
    <t>Preço</t>
  </si>
  <si>
    <t>% IPI</t>
  </si>
  <si>
    <t>FOB Total</t>
  </si>
  <si>
    <t>% ICMS</t>
  </si>
  <si>
    <t>% PIS/COFINS</t>
  </si>
  <si>
    <t>Custo Bruto</t>
  </si>
  <si>
    <t>Custo Liq</t>
  </si>
  <si>
    <t>Custo Médio</t>
  </si>
  <si>
    <t>Preço Mínimo</t>
  </si>
  <si>
    <t>Fator</t>
  </si>
  <si>
    <t>Preço de Venda</t>
  </si>
  <si>
    <t>NCM</t>
  </si>
  <si>
    <t>Total Custo (MEDIO)</t>
  </si>
  <si>
    <t>Total Venda</t>
  </si>
  <si>
    <t>Valor NF</t>
  </si>
  <si>
    <t>Valor IPI</t>
  </si>
  <si>
    <t>Base Cálculo ICMS</t>
  </si>
  <si>
    <t>Vlr ICMS</t>
  </si>
  <si>
    <t>Pis/Cofins</t>
  </si>
  <si>
    <t>Vlr Pis/Cofins</t>
  </si>
  <si>
    <t>Trib.Efetiva</t>
  </si>
  <si>
    <t>Vlr. Cred.Presumido</t>
  </si>
  <si>
    <t>Margem Min</t>
  </si>
  <si>
    <t>% Min</t>
  </si>
  <si>
    <t>027086-1</t>
  </si>
  <si>
    <t>NVR DS-7732NXI-I4/S HIK</t>
  </si>
  <si>
    <t>027355-8</t>
  </si>
  <si>
    <t>CAMERA DS-2CD2347G2H-LISU/SL/2.8/EF/BR STD/SKD HIK</t>
  </si>
  <si>
    <t xml:space="preserve">Total </t>
  </si>
  <si>
    <t xml:space="preserve">  </t>
  </si>
  <si>
    <t>Dolar DI</t>
  </si>
  <si>
    <t>FOB</t>
  </si>
  <si>
    <t>Total Custo</t>
  </si>
  <si>
    <t>IRPJ s/CredPres</t>
  </si>
  <si>
    <t>027341-1</t>
  </si>
  <si>
    <t>HDD EXTERNO 1TB STGX1000400 SEAGATE</t>
  </si>
  <si>
    <t>8471.70.10</t>
  </si>
  <si>
    <t>IPI</t>
  </si>
  <si>
    <t>PIS</t>
  </si>
  <si>
    <t/>
  </si>
  <si>
    <t>COFINS</t>
  </si>
  <si>
    <t>TOTAL</t>
  </si>
  <si>
    <t>Codigo Importadora</t>
  </si>
  <si>
    <t>Codigo VAIP</t>
  </si>
  <si>
    <t>Origem</t>
  </si>
  <si>
    <t>NF</t>
  </si>
  <si>
    <t>Data Entrada</t>
  </si>
  <si>
    <t>Fornecedor</t>
  </si>
  <si>
    <t>Depósito</t>
  </si>
  <si>
    <t>Créditos</t>
  </si>
  <si>
    <t>Valor ICMS</t>
  </si>
  <si>
    <t>Valor PIS/Cofins</t>
  </si>
  <si>
    <t>Desconto / Acrescimo</t>
  </si>
  <si>
    <t>Pedido de Compra</t>
  </si>
  <si>
    <t>Processo</t>
  </si>
  <si>
    <t>Custo Liquido</t>
  </si>
  <si>
    <t>Cód. Importadora</t>
  </si>
  <si>
    <t>% ICMS Efetivo</t>
  </si>
  <si>
    <t>Vlr ICMS Efetivo</t>
  </si>
  <si>
    <t>Valor Frete</t>
  </si>
  <si>
    <t>Dolares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</si>
</sst>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?_-;_-@_-"/>
    <numFmt numFmtId="166" formatCode="_-* #,##0.000_-;\-* #,##0.000_-;_-* &quot;-&quot;??_-;_-@_-"/>
    <numFmt numFmtId="167" formatCode="0.0%"/>
    <numFmt numFmtId="168" formatCode="_-[$R$-416]\ * #,##0.00_-;\-[$R$-416]\ * #,##0.00_-;_-[$R$-416]\ * &quot;-&quot;??_-;_-@_-"/>
    <numFmt numFmtId="169" formatCode="_-* #,##0.00_-;\-* #,##0.00_-;_-* \-??_-;_-@_-"/>
    <numFmt numFmtId="170" formatCode="0.000%"/>
    <numFmt numFmtId="171" formatCode="_-[$$-409]* #,##0.00_ ;_-[$$-409]* \-#,##0.00\ ;_-[$$-409]* &quot;-&quot;??_ ;_-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169" fontId="4" fillId="0" borderId="0" applyBorder="0" applyProtection="0"/>
    <xf numFmtId="0" fontId="4" fillId="0" borderId="0"/>
    <xf numFmtId="0" fontId="1" fillId="0" borderId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14" fontId="0" fillId="0" borderId="2" xfId="3" applyNumberFormat="1" applyFont="1" applyBorder="1" applyAlignment="1">
      <alignment horizontal="left"/>
    </xf>
    <xf numFmtId="0" fontId="0" fillId="0" borderId="1" xfId="3" applyFont="1" applyBorder="1"/>
    <xf numFmtId="0" fontId="0" fillId="0" borderId="0" xfId="3" applyFont="1"/>
    <xf numFmtId="0" fontId="2" fillId="4" borderId="1" xfId="3" applyFont="1" applyFill="1" applyBorder="1"/>
    <xf numFmtId="164" fontId="2" fillId="2" borderId="1" xfId="4" applyNumberFormat="1" applyFont="1" applyFill="1" applyBorder="1"/>
    <xf numFmtId="43" fontId="2" fillId="4" borderId="1" xfId="4" applyFont="1" applyFill="1" applyBorder="1"/>
    <xf numFmtId="10" fontId="2" fillId="4" borderId="1" xfId="4" applyNumberFormat="1" applyFont="1" applyFill="1" applyBorder="1"/>
    <xf numFmtId="9" fontId="2" fillId="4" borderId="1" xfId="4" applyNumberFormat="1" applyFont="1" applyFill="1" applyBorder="1"/>
    <xf numFmtId="165" fontId="2" fillId="4" borderId="1" xfId="4" applyNumberFormat="1" applyFont="1" applyFill="1" applyBorder="1"/>
    <xf numFmtId="166" fontId="2" fillId="4" borderId="1" xfId="4" applyNumberFormat="1" applyFont="1" applyFill="1" applyBorder="1"/>
    <xf numFmtId="0" fontId="6" fillId="0" borderId="0" xfId="5"/>
    <xf numFmtId="167" fontId="2" fillId="4" borderId="1" xfId="4" applyNumberFormat="1" applyFont="1" applyFill="1" applyBorder="1"/>
    <xf numFmtId="43" fontId="7" fillId="0" borderId="1" xfId="4" applyFont="1" applyBorder="1"/>
    <xf numFmtId="10" fontId="7" fillId="0" borderId="1" xfId="3" applyNumberFormat="1" applyFont="1" applyBorder="1"/>
    <xf numFmtId="43" fontId="7" fillId="0" borderId="1" xfId="3" applyNumberFormat="1" applyFont="1" applyBorder="1"/>
    <xf numFmtId="10" fontId="7" fillId="0" borderId="1" xfId="6" applyNumberFormat="1" applyFont="1" applyBorder="1"/>
    <xf numFmtId="0" fontId="1" fillId="0" borderId="0" xfId="3"/>
    <xf numFmtId="164" fontId="3" fillId="3" borderId="3" xfId="3" applyNumberFormat="1" applyFont="1" applyFill="1" applyBorder="1"/>
    <xf numFmtId="164" fontId="3" fillId="0" borderId="0" xfId="3" applyNumberFormat="1" applyFont="1"/>
    <xf numFmtId="0" fontId="3" fillId="3" borderId="3" xfId="3" applyFont="1" applyFill="1" applyBorder="1"/>
    <xf numFmtId="43" fontId="3" fillId="3" borderId="3" xfId="3" applyNumberFormat="1" applyFont="1" applyFill="1" applyBorder="1"/>
    <xf numFmtId="0" fontId="0" fillId="0" borderId="3" xfId="3" applyFont="1" applyBorder="1"/>
    <xf numFmtId="165" fontId="0" fillId="0" borderId="0" xfId="3" applyNumberFormat="1" applyFont="1"/>
    <xf numFmtId="169" fontId="4" fillId="0" borderId="0" xfId="7"/>
    <xf numFmtId="43" fontId="0" fillId="0" borderId="0" xfId="3" applyNumberFormat="1" applyFont="1"/>
    <xf numFmtId="168" fontId="0" fillId="0" borderId="0" xfId="3" applyNumberFormat="1" applyFont="1"/>
    <xf numFmtId="0" fontId="3" fillId="3" borderId="1" xfId="3" applyFont="1" applyFill="1" applyBorder="1" applyAlignment="1">
      <alignment horizontal="center"/>
    </xf>
    <xf numFmtId="0" fontId="2" fillId="5" borderId="1" xfId="5" applyFont="1" applyFill="1" applyBorder="1"/>
    <xf numFmtId="164" fontId="2" fillId="4" borderId="1" xfId="4" applyNumberFormat="1" applyFont="1" applyFill="1" applyBorder="1"/>
    <xf numFmtId="43" fontId="2" fillId="4" borderId="1" xfId="10" applyFont="1" applyFill="1" applyBorder="1"/>
    <xf numFmtId="0" fontId="2" fillId="6" borderId="1" xfId="5" applyFont="1" applyFill="1" applyBorder="1"/>
    <xf numFmtId="166" fontId="2" fillId="4" borderId="1" xfId="11" applyNumberFormat="1" applyFont="1" applyFill="1" applyBorder="1"/>
    <xf numFmtId="169" fontId="4" fillId="0" borderId="1" xfId="7" applyBorder="1"/>
    <xf numFmtId="43" fontId="7" fillId="0" borderId="0" xfId="3" applyNumberFormat="1" applyFont="1"/>
    <xf numFmtId="170" fontId="7" fillId="0" borderId="0" xfId="6" applyNumberFormat="1" applyFont="1"/>
    <xf numFmtId="43" fontId="7" fillId="0" borderId="0" xfId="4" applyFont="1"/>
    <xf numFmtId="0" fontId="7" fillId="0" borderId="0" xfId="3" applyFont="1"/>
    <xf numFmtId="164" fontId="3" fillId="3" borderId="0" xfId="3" applyNumberFormat="1" applyFont="1" applyFill="1"/>
    <xf numFmtId="171" fontId="3" fillId="3" borderId="3" xfId="3" applyNumberFormat="1" applyFont="1" applyFill="1" applyBorder="1"/>
    <xf numFmtId="10" fontId="7" fillId="2" borderId="3" xfId="6" applyNumberFormat="1" applyFont="1" applyFill="1" applyBorder="1"/>
    <xf numFmtId="0" fontId="6" fillId="0" borderId="0" xfId="5" quotePrefix="1"/>
    <xf numFmtId="0" fontId="8" fillId="0" borderId="1" xfId="3" applyFont="1" applyBorder="1"/>
    <xf numFmtId="169" fontId="9" fillId="0" borderId="1" xfId="7" applyFont="1" applyBorder="1"/>
    <xf numFmtId="43" fontId="0" fillId="0" borderId="0" xfId="4" applyFont="1"/>
    <xf numFmtId="169" fontId="4" fillId="2" borderId="1" xfId="7" applyFill="1" applyBorder="1"/>
    <xf numFmtId="0" fontId="5" fillId="2" borderId="1" xfId="2" applyFont="1" applyFill="1" applyBorder="1"/>
    <xf numFmtId="0" fontId="3" fillId="3" borderId="1" xfId="3" applyFont="1" applyFill="1" applyBorder="1" applyAlignment="1">
      <alignment horizontal="center" wrapText="1"/>
    </xf>
    <xf numFmtId="0" fontId="3" fillId="0" borderId="0" xfId="3" applyFont="1" applyAlignment="1">
      <alignment horizontal="center"/>
    </xf>
    <xf numFmtId="43" fontId="3" fillId="3" borderId="3" xfId="1" applyFont="1" applyFill="1" applyBorder="1"/>
    <xf numFmtId="0" fontId="2" fillId="4" borderId="1" xfId="3" applyFont="1" applyFill="1" applyBorder="1" applyAlignment="1">
      <alignment horizontal="left"/>
    </xf>
    <xf numFmtId="14" fontId="0" fillId="0" borderId="1" xfId="3" applyNumberFormat="1" applyFont="1" applyBorder="1"/>
    <xf numFmtId="164" fontId="0" fillId="0" borderId="1" xfId="1" applyNumberFormat="1" applyFont="1" applyBorder="1"/>
    <xf numFmtId="0" fontId="3" fillId="3" borderId="5" xfId="3" applyFont="1" applyFill="1" applyBorder="1" applyAlignment="1">
      <alignment horizontal="center" wrapText="1"/>
    </xf>
    <xf numFmtId="10" fontId="7" fillId="0" borderId="3" xfId="6" applyNumberFormat="1" applyFont="1" applyBorder="1"/>
    <xf numFmtId="0" fontId="5" fillId="2" borderId="1" xfId="8" applyFont="1" applyFill="1" applyBorder="1"/>
    <xf numFmtId="0" fontId="3" fillId="3" borderId="1" xfId="9" applyFont="1" applyFill="1" applyBorder="1" applyAlignment="1">
      <alignment horizontal="center"/>
    </xf>
    <xf numFmtId="43" fontId="2" fillId="6" borderId="1" xfId="1" applyFont="1" applyFill="1" applyBorder="1"/>
    <xf numFmtId="10" fontId="7" fillId="0" borderId="0" xfId="12" applyNumberFormat="1" applyFont="1"/>
    <xf numFmtId="10" fontId="3" fillId="3" borderId="3" xfId="12" applyNumberFormat="1" applyFont="1" applyFill="1" applyBorder="1"/>
    <xf numFmtId="0" fontId="3" fillId="3" borderId="4" xfId="3" applyFont="1" applyFill="1" applyBorder="1" applyAlignment="1">
      <alignment horizontal="center" wrapText="1"/>
    </xf>
    <xf numFmtId="0" fontId="3" fillId="3" borderId="6" xfId="3" applyFont="1" applyFill="1" applyBorder="1" applyAlignment="1">
      <alignment horizontal="center" wrapText="1"/>
    </xf>
    <xf numFmtId="0" fontId="3" fillId="3" borderId="5" xfId="3" applyFont="1" applyFill="1" applyBorder="1" applyAlignment="1">
      <alignment horizontal="center" wrapText="1"/>
    </xf>
  </cellXfs>
  <cellStyles count="13">
    <cellStyle name="Normal" xfId="0" builtinId="0"/>
    <cellStyle name="Normal 17 2 18" xfId="3" xr:uid="{68B2C564-82A3-4CAD-9DB4-2E8AEC91B054}"/>
    <cellStyle name="Normal 17 2 18 2" xfId="9" xr:uid="{F9896EE7-699F-4DBD-AAD4-2DEB2A84211C}"/>
    <cellStyle name="Normal 2" xfId="5" xr:uid="{1CF10459-ACFA-4528-BBAB-FC58CD83F4B8}"/>
    <cellStyle name="Normal 2 7 2" xfId="2" xr:uid="{27D52F7A-EEC0-4E9E-A0C9-AB00EA40DCF8}"/>
    <cellStyle name="Normal 3 2" xfId="8" xr:uid="{BF4BB771-416D-4C91-892B-7778E620F6FC}"/>
    <cellStyle name="Porcentagem" xfId="12" builtinId="5"/>
    <cellStyle name="Porcentagem 4 2 18" xfId="6" xr:uid="{722711E6-C2D7-4E70-81E4-42FE7415A6B1}"/>
    <cellStyle name="Vírgula" xfId="1" builtinId="3"/>
    <cellStyle name="Vírgula 2" xfId="7" xr:uid="{7A55647B-02AC-4C8B-9CA2-1619C63704EE}"/>
    <cellStyle name="Vírgula 3" xfId="10" xr:uid="{34F201E2-23C5-4219-83B2-E7C8DEF5A1BD}"/>
    <cellStyle name="Vírgula 4 2 18" xfId="4" xr:uid="{AAF841CE-CBB3-4970-9A23-AF4870B336C5}"/>
    <cellStyle name="Vírgula 4 3" xfId="11" xr:uid="{AAA89ED4-CC69-47B5-A083-F4C26EF800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A34D-0FC2-437F-AE00-265324DE69F0}">
  <sheetPr>
    <tabColor rgb="FFFF0000"/>
  </sheetPr>
  <dimension ref="A1:AJ30"/>
  <sheetViews>
    <sheetView showGridLines="0" zoomScaleNormal="100" workbookViewId="0">
      <selection activeCell="A7" sqref="A7"/>
    </sheetView>
  </sheetViews>
  <sheetFormatPr defaultColWidth="9.85546875" defaultRowHeight="15" x14ac:dyDescent="0.25"/>
  <cols>
    <col min="1" max="1" width="15" style="3" bestFit="1" customWidth="1"/>
    <col min="2" max="2" width="11.42578125" style="3" customWidth="1"/>
    <col min="3" max="3" width="31.140625" style="3" customWidth="1"/>
    <col min="4" max="4" width="10.85546875" style="3" bestFit="1" customWidth="1"/>
    <col min="5" max="5" width="6.5703125" style="3" bestFit="1" customWidth="1"/>
    <col min="6" max="6" width="8.7109375" style="3" customWidth="1"/>
    <col min="7" max="7" width="7.140625" style="3" customWidth="1"/>
    <col min="8" max="8" width="9.7109375" style="3" bestFit="1" customWidth="1"/>
    <col min="9" max="9" width="6.5703125" style="3" customWidth="1"/>
    <col min="10" max="10" width="11.85546875" style="3" bestFit="1" customWidth="1"/>
    <col min="11" max="11" width="6.7109375" style="3" bestFit="1" customWidth="1"/>
    <col min="12" max="12" width="12" style="3" bestFit="1" customWidth="1"/>
    <col min="13" max="13" width="10.5703125" style="3" customWidth="1"/>
    <col min="14" max="14" width="10.85546875" style="3" bestFit="1" customWidth="1"/>
    <col min="15" max="15" width="10.85546875" style="3" customWidth="1"/>
    <col min="16" max="16" width="9.7109375" style="3" bestFit="1" customWidth="1"/>
    <col min="17" max="17" width="11.5703125" style="3" bestFit="1" customWidth="1"/>
    <col min="18" max="18" width="12.42578125" style="3" bestFit="1" customWidth="1"/>
    <col min="19" max="19" width="7.7109375" style="3" bestFit="1" customWidth="1"/>
    <col min="20" max="20" width="7.42578125" style="3" bestFit="1" customWidth="1"/>
    <col min="21" max="21" width="13.140625" style="3" bestFit="1" customWidth="1"/>
    <col min="22" max="22" width="6.5703125" style="3" bestFit="1" customWidth="1"/>
    <col min="23" max="23" width="8.140625" style="3" bestFit="1" customWidth="1"/>
    <col min="24" max="24" width="12.5703125" style="3" bestFit="1" customWidth="1"/>
    <col min="25" max="25" width="4.42578125" style="3" customWidth="1"/>
    <col min="26" max="26" width="6" style="3" customWidth="1"/>
    <col min="27" max="27" width="12.28515625" style="3" bestFit="1" customWidth="1"/>
    <col min="28" max="29" width="13.5703125" style="3" bestFit="1" customWidth="1"/>
    <col min="30" max="30" width="8.7109375" style="3" customWidth="1"/>
    <col min="31" max="31" width="19.140625" style="3" customWidth="1"/>
    <col min="32" max="33" width="11.140625" style="3" customWidth="1"/>
    <col min="34" max="34" width="10.85546875" style="3" customWidth="1"/>
    <col min="35" max="35" width="14" style="3" customWidth="1"/>
    <col min="36" max="36" width="12.42578125" style="3" bestFit="1" customWidth="1"/>
    <col min="37" max="16384" width="9.85546875" style="3"/>
  </cols>
  <sheetData>
    <row r="1" spans="1:36" x14ac:dyDescent="0.25">
      <c r="A1" s="46" t="s">
        <v>56</v>
      </c>
      <c r="B1" s="2"/>
    </row>
    <row r="2" spans="1:36" x14ac:dyDescent="0.25">
      <c r="A2" s="46" t="s">
        <v>48</v>
      </c>
      <c r="B2" s="2">
        <v>456456</v>
      </c>
      <c r="C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36" x14ac:dyDescent="0.25">
      <c r="A3" s="46" t="s">
        <v>49</v>
      </c>
      <c r="B3" s="51">
        <v>45945</v>
      </c>
      <c r="C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36" x14ac:dyDescent="0.25">
      <c r="A4" s="46" t="s">
        <v>50</v>
      </c>
      <c r="B4" s="51"/>
      <c r="C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6" ht="14.25" customHeight="1" x14ac:dyDescent="0.25">
      <c r="A5" s="46" t="s">
        <v>51</v>
      </c>
      <c r="B5" s="52">
        <v>1</v>
      </c>
      <c r="C5" s="1"/>
      <c r="G5" s="2"/>
      <c r="H5" s="2"/>
      <c r="I5" s="2"/>
      <c r="J5" s="2"/>
      <c r="K5" s="60" t="s">
        <v>52</v>
      </c>
      <c r="L5" s="61"/>
      <c r="M5" s="61"/>
      <c r="N5" s="62"/>
      <c r="O5" s="53"/>
      <c r="P5" s="2"/>
      <c r="Q5" s="2"/>
      <c r="R5" s="2"/>
    </row>
    <row r="6" spans="1:36" s="48" customFormat="1" ht="45" x14ac:dyDescent="0.25">
      <c r="A6" s="47" t="s">
        <v>46</v>
      </c>
      <c r="B6" s="47" t="s">
        <v>45</v>
      </c>
      <c r="C6" s="27" t="s">
        <v>1</v>
      </c>
      <c r="D6" s="27" t="s">
        <v>14</v>
      </c>
      <c r="E6" s="27" t="s">
        <v>47</v>
      </c>
      <c r="F6" s="27" t="s">
        <v>51</v>
      </c>
      <c r="G6" s="27" t="s">
        <v>2</v>
      </c>
      <c r="H6" s="27" t="s">
        <v>3</v>
      </c>
      <c r="I6" s="27" t="s">
        <v>4</v>
      </c>
      <c r="J6" s="27" t="s">
        <v>5</v>
      </c>
      <c r="K6" s="27" t="s">
        <v>6</v>
      </c>
      <c r="L6" s="27" t="s">
        <v>53</v>
      </c>
      <c r="M6" s="47" t="s">
        <v>7</v>
      </c>
      <c r="N6" s="47" t="s">
        <v>54</v>
      </c>
      <c r="O6" s="47" t="s">
        <v>55</v>
      </c>
      <c r="P6" s="27" t="s">
        <v>9</v>
      </c>
      <c r="Q6" s="27" t="s">
        <v>10</v>
      </c>
      <c r="R6" s="27" t="s">
        <v>11</v>
      </c>
      <c r="S6" s="27" t="s">
        <v>26</v>
      </c>
      <c r="T6" s="27" t="s">
        <v>12</v>
      </c>
      <c r="U6" s="27" t="s">
        <v>13</v>
      </c>
      <c r="V6" s="27" t="s">
        <v>4</v>
      </c>
      <c r="W6" s="27" t="s">
        <v>6</v>
      </c>
      <c r="X6" s="27" t="s">
        <v>60</v>
      </c>
      <c r="Y6" s="27"/>
      <c r="Z6" s="27"/>
      <c r="AA6" s="47" t="s">
        <v>15</v>
      </c>
      <c r="AB6" s="27" t="s">
        <v>16</v>
      </c>
      <c r="AC6" s="27" t="s">
        <v>17</v>
      </c>
      <c r="AD6" s="27" t="s">
        <v>18</v>
      </c>
      <c r="AE6" s="27" t="s">
        <v>19</v>
      </c>
      <c r="AF6" s="27" t="s">
        <v>20</v>
      </c>
      <c r="AG6" s="27" t="s">
        <v>61</v>
      </c>
      <c r="AH6" s="27" t="s">
        <v>21</v>
      </c>
      <c r="AI6" s="27" t="s">
        <v>22</v>
      </c>
      <c r="AJ6" s="27" t="s">
        <v>25</v>
      </c>
    </row>
    <row r="7" spans="1:36" x14ac:dyDescent="0.25">
      <c r="A7" s="4" t="s">
        <v>27</v>
      </c>
      <c r="B7" s="4">
        <v>31539</v>
      </c>
      <c r="C7" s="4" t="s">
        <v>28</v>
      </c>
      <c r="D7" s="50">
        <v>85219000</v>
      </c>
      <c r="E7" s="50">
        <v>4</v>
      </c>
      <c r="F7" s="50">
        <v>1</v>
      </c>
      <c r="G7" s="5">
        <v>20</v>
      </c>
      <c r="H7" s="6">
        <v>2145.9395</v>
      </c>
      <c r="I7" s="7">
        <v>0</v>
      </c>
      <c r="J7" s="6">
        <f>G7*(H7*(1+I7))</f>
        <v>42918.79</v>
      </c>
      <c r="K7" s="8">
        <v>0.12</v>
      </c>
      <c r="L7" s="9">
        <f>H7*K7</f>
        <v>257.51274000000001</v>
      </c>
      <c r="M7" s="7">
        <v>5.6000000000000001E-2</v>
      </c>
      <c r="N7" s="9">
        <f>(H7-L7)*M7</f>
        <v>105.75189855999999</v>
      </c>
      <c r="O7" s="9"/>
      <c r="P7" s="6">
        <f>H7-L7-N7+O7</f>
        <v>1782.6748614399999</v>
      </c>
      <c r="Q7" s="6">
        <f>P7</f>
        <v>1782.6748614399999</v>
      </c>
      <c r="R7" s="6">
        <f>P7*2</f>
        <v>3565.3497228799997</v>
      </c>
      <c r="S7" s="7">
        <f>AJ7/AC7</f>
        <v>0.29859999999999998</v>
      </c>
      <c r="T7" s="10">
        <f>R7/H7</f>
        <v>1.6614399999999998</v>
      </c>
      <c r="U7" s="6">
        <f>R7/0.95</f>
        <v>3752.9997082947366</v>
      </c>
      <c r="V7" s="7">
        <v>0</v>
      </c>
      <c r="W7" s="12">
        <f>K7</f>
        <v>0.12</v>
      </c>
      <c r="X7" s="12">
        <v>0.12</v>
      </c>
      <c r="Y7" s="12"/>
      <c r="Z7" s="12"/>
      <c r="AA7" s="13">
        <f>G7*Q7</f>
        <v>35653.497228799999</v>
      </c>
      <c r="AB7" s="13">
        <f>G7*R7</f>
        <v>71306.994457599998</v>
      </c>
      <c r="AC7" s="13">
        <f>AB7</f>
        <v>71306.994457599998</v>
      </c>
      <c r="AD7" s="13">
        <f>AB7-(AB7/(1+V7))</f>
        <v>0</v>
      </c>
      <c r="AE7" s="13">
        <f>AB7-AD7</f>
        <v>71306.994457599998</v>
      </c>
      <c r="AF7" s="13">
        <f>AE7*W7</f>
        <v>8556.8393349119997</v>
      </c>
      <c r="AG7" s="13">
        <f>AE7*X7</f>
        <v>8556.8393349119997</v>
      </c>
      <c r="AH7" s="14">
        <v>9.2499999999999999E-2</v>
      </c>
      <c r="AI7" s="13">
        <f>(AE7-AF7)*AH7</f>
        <v>5804.3893488486392</v>
      </c>
      <c r="AJ7" s="15">
        <f>AC7-AA7-AD7-AG7-AI7</f>
        <v>21292.268545039358</v>
      </c>
    </row>
    <row r="8" spans="1:36" x14ac:dyDescent="0.25">
      <c r="A8" s="4" t="s">
        <v>29</v>
      </c>
      <c r="B8" s="4">
        <v>35166</v>
      </c>
      <c r="C8" s="4" t="s">
        <v>30</v>
      </c>
      <c r="D8" s="50">
        <v>85258929</v>
      </c>
      <c r="E8" s="50">
        <v>4</v>
      </c>
      <c r="F8" s="50">
        <v>1</v>
      </c>
      <c r="G8" s="5">
        <v>108</v>
      </c>
      <c r="H8" s="6">
        <v>825.36450000000002</v>
      </c>
      <c r="I8" s="7">
        <v>0</v>
      </c>
      <c r="J8" s="6">
        <f>G8*(H8*(1+I8))</f>
        <v>89139.366000000009</v>
      </c>
      <c r="K8" s="8">
        <v>0.12</v>
      </c>
      <c r="L8" s="9">
        <f>H8*K8</f>
        <v>99.04374</v>
      </c>
      <c r="M8" s="7">
        <v>5.6000000000000001E-2</v>
      </c>
      <c r="N8" s="9">
        <f>(H8-L8)*M8</f>
        <v>40.673962560000007</v>
      </c>
      <c r="O8" s="9"/>
      <c r="P8" s="6">
        <f>H8-L8-N8+O8</f>
        <v>685.64679744</v>
      </c>
      <c r="Q8" s="6">
        <f>P8</f>
        <v>685.64679744</v>
      </c>
      <c r="R8" s="6">
        <f>P8*2</f>
        <v>1371.29359488</v>
      </c>
      <c r="S8" s="7">
        <f>AJ8/AC8</f>
        <v>0.29860000000000003</v>
      </c>
      <c r="T8" s="10">
        <f>R8/H8</f>
        <v>1.66144</v>
      </c>
      <c r="U8" s="6">
        <f>R8/0.95</f>
        <v>1443.4669419789475</v>
      </c>
      <c r="V8" s="7">
        <v>0</v>
      </c>
      <c r="W8" s="12">
        <f>K8</f>
        <v>0.12</v>
      </c>
      <c r="X8" s="12">
        <v>0.12</v>
      </c>
      <c r="Y8" s="12"/>
      <c r="Z8" s="12"/>
      <c r="AA8" s="13">
        <f>G8*Q8</f>
        <v>74049.854123519995</v>
      </c>
      <c r="AB8" s="13">
        <f>G8*R8</f>
        <v>148099.70824703999</v>
      </c>
      <c r="AC8" s="13">
        <f>AB8</f>
        <v>148099.70824703999</v>
      </c>
      <c r="AD8" s="13">
        <f>AB8-(AB8/(1+V8))</f>
        <v>0</v>
      </c>
      <c r="AE8" s="13">
        <f>AB8-AD8</f>
        <v>148099.70824703999</v>
      </c>
      <c r="AF8" s="13">
        <f>AE8*W8</f>
        <v>17771.964989644799</v>
      </c>
      <c r="AG8" s="13">
        <f>AE8*X8</f>
        <v>17771.964989644799</v>
      </c>
      <c r="AH8" s="14">
        <v>9.2499999999999999E-2</v>
      </c>
      <c r="AI8" s="13">
        <f>(AE8-AF8)*AH8</f>
        <v>12055.316251309056</v>
      </c>
      <c r="AJ8" s="15">
        <f>AC8-AA8-AD8-AG8-AI8</f>
        <v>44222.572882566143</v>
      </c>
    </row>
    <row r="9" spans="1:36" x14ac:dyDescent="0.25">
      <c r="A9" s="4"/>
      <c r="B9" s="4"/>
      <c r="C9" s="4"/>
      <c r="D9" s="50"/>
      <c r="E9" s="50"/>
      <c r="F9" s="50"/>
      <c r="G9" s="5"/>
      <c r="H9" s="6"/>
      <c r="I9" s="7"/>
      <c r="J9" s="6"/>
      <c r="K9" s="8"/>
      <c r="L9" s="9"/>
      <c r="M9" s="7"/>
      <c r="N9" s="9"/>
      <c r="O9" s="9"/>
      <c r="P9" s="6"/>
      <c r="Q9" s="6"/>
      <c r="R9" s="6"/>
      <c r="S9" s="7"/>
      <c r="T9" s="10"/>
      <c r="U9" s="6"/>
      <c r="V9" s="7"/>
      <c r="W9" s="12"/>
      <c r="X9" s="16"/>
      <c r="Y9" s="16"/>
      <c r="Z9" s="16"/>
      <c r="AA9" s="13"/>
      <c r="AB9" s="13"/>
      <c r="AC9" s="13"/>
      <c r="AD9" s="13"/>
      <c r="AE9" s="13"/>
      <c r="AF9" s="13"/>
      <c r="AG9" s="13"/>
      <c r="AH9" s="14"/>
      <c r="AI9" s="13"/>
      <c r="AJ9" s="15"/>
    </row>
    <row r="10" spans="1:36" x14ac:dyDescent="0.25">
      <c r="G10" s="18">
        <f>SUM(G7:G9)</f>
        <v>128</v>
      </c>
      <c r="H10" s="19"/>
      <c r="I10" s="19"/>
      <c r="J10" s="49">
        <f>SUM(J7:J9)</f>
        <v>132058.15600000002</v>
      </c>
      <c r="K10" s="19"/>
      <c r="L10" s="19"/>
      <c r="M10" s="19"/>
      <c r="N10" s="19"/>
      <c r="O10" s="19"/>
      <c r="S10" s="7">
        <f>AJ10/AC10</f>
        <v>0.29859999999999998</v>
      </c>
      <c r="X10" s="54"/>
      <c r="Y10" s="54"/>
      <c r="Z10" s="54"/>
      <c r="AA10" s="20" t="s">
        <v>31</v>
      </c>
      <c r="AB10" s="21">
        <f>SUM(AB7:AB9)</f>
        <v>219406.70270463999</v>
      </c>
      <c r="AC10" s="21">
        <f>SUM(AC7:AC9)</f>
        <v>219406.70270463999</v>
      </c>
      <c r="AD10" s="21">
        <f>SUM(AD7:AD9)</f>
        <v>0</v>
      </c>
      <c r="AE10" s="21">
        <f>SUM(AE7:AE9)</f>
        <v>219406.70270463999</v>
      </c>
      <c r="AF10" s="21">
        <f>SUM(AF7:AF9)</f>
        <v>26328.804324556797</v>
      </c>
      <c r="AG10" s="21"/>
      <c r="AH10" s="21"/>
      <c r="AI10" s="21">
        <f>SUM(AI7:AI9)</f>
        <v>17859.705600157693</v>
      </c>
      <c r="AJ10" s="21">
        <f>SUM(AJ7:AJ9)</f>
        <v>65514.841427605497</v>
      </c>
    </row>
    <row r="11" spans="1:36" x14ac:dyDescent="0.25">
      <c r="D11" s="23"/>
      <c r="E11" s="23"/>
      <c r="F11" s="23"/>
      <c r="R11" s="23"/>
      <c r="T11" s="24"/>
      <c r="U11" s="23"/>
      <c r="V11" s="23"/>
    </row>
    <row r="12" spans="1:36" x14ac:dyDescent="0.25">
      <c r="N12" s="25"/>
      <c r="O12" s="25"/>
      <c r="R12" s="25"/>
    </row>
    <row r="13" spans="1:36" x14ac:dyDescent="0.25">
      <c r="H13" s="26"/>
      <c r="J13" s="26"/>
    </row>
    <row r="17" spans="3:3" ht="17.100000000000001" customHeight="1" x14ac:dyDescent="0.25"/>
    <row r="30" spans="3:3" x14ac:dyDescent="0.25">
      <c r="C30" s="3" t="s">
        <v>32</v>
      </c>
    </row>
  </sheetData>
  <mergeCells count="1">
    <mergeCell ref="K5:N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E070-C5FE-4E8A-BC38-36AEE5AFBC2B}">
  <sheetPr>
    <tabColor rgb="FFFFFF00"/>
  </sheetPr>
  <dimension ref="A1:AL19"/>
  <sheetViews>
    <sheetView tabSelected="1" zoomScale="106" zoomScaleNormal="106" workbookViewId="0">
      <selection activeCell="H20" sqref="H20"/>
    </sheetView>
  </sheetViews>
  <sheetFormatPr defaultColWidth="8.7109375" defaultRowHeight="15" x14ac:dyDescent="0.25"/>
  <cols>
    <col min="1" max="1" width="15.140625" style="3" bestFit="1" customWidth="1"/>
    <col min="2" max="2" width="14.7109375" style="3" bestFit="1" customWidth="1"/>
    <col min="3" max="3" width="40.140625" style="3" customWidth="1"/>
    <col min="4" max="4" width="13.42578125" style="3" customWidth="1"/>
    <col min="5" max="5" width="6.5703125" style="3" bestFit="1" customWidth="1"/>
    <col min="6" max="6" width="7.7109375" style="3" customWidth="1"/>
    <col min="7" max="7" width="7.7109375" style="3" bestFit="1" customWidth="1"/>
    <col min="8" max="8" width="9.85546875" style="3" bestFit="1" customWidth="1"/>
    <col min="9" max="9" width="8" style="3" bestFit="1" customWidth="1"/>
    <col min="10" max="10" width="9" style="3" bestFit="1" customWidth="1"/>
    <col min="11" max="11" width="13.140625" style="3" bestFit="1" customWidth="1"/>
    <col min="12" max="12" width="10.85546875" style="3" bestFit="1" customWidth="1"/>
    <col min="13" max="13" width="7.140625" style="3" bestFit="1" customWidth="1"/>
    <col min="14" max="14" width="11.5703125" style="3" bestFit="1" customWidth="1"/>
    <col min="15" max="15" width="11.42578125" style="3" bestFit="1" customWidth="1"/>
    <col min="16" max="16" width="12" style="3" customWidth="1"/>
    <col min="17" max="17" width="7.42578125" style="3" bestFit="1" customWidth="1"/>
    <col min="18" max="18" width="8" style="3" bestFit="1" customWidth="1"/>
    <col min="19" max="19" width="13.85546875" style="3" bestFit="1" customWidth="1"/>
    <col min="20" max="20" width="5.42578125" style="3" customWidth="1"/>
    <col min="21" max="21" width="5.7109375" style="3" customWidth="1"/>
    <col min="22" max="22" width="13.28515625" style="3" bestFit="1" customWidth="1"/>
    <col min="23" max="24" width="12.28515625" style="3" bestFit="1" customWidth="1"/>
    <col min="25" max="25" width="10.7109375" style="3" bestFit="1" customWidth="1"/>
    <col min="26" max="26" width="15.42578125" style="3" bestFit="1" customWidth="1"/>
    <col min="27" max="27" width="9.85546875" style="3" bestFit="1" customWidth="1"/>
    <col min="28" max="28" width="8.7109375" style="3" bestFit="1" customWidth="1"/>
    <col min="29" max="29" width="11.42578125" style="3" bestFit="1" customWidth="1"/>
    <col min="30" max="30" width="17" style="3" bestFit="1" customWidth="1"/>
    <col min="31" max="31" width="13.5703125" style="3" bestFit="1" customWidth="1"/>
    <col min="32" max="32" width="11.7109375" style="3" bestFit="1" customWidth="1"/>
    <col min="33" max="16384" width="8.7109375" style="3"/>
  </cols>
  <sheetData>
    <row r="1" spans="1:38" x14ac:dyDescent="0.25">
      <c r="A1" s="46" t="s">
        <v>56</v>
      </c>
      <c r="B1" s="2"/>
    </row>
    <row r="2" spans="1:38" x14ac:dyDescent="0.25">
      <c r="A2" s="46" t="s">
        <v>48</v>
      </c>
      <c r="B2" s="2">
        <v>456456</v>
      </c>
    </row>
    <row r="3" spans="1:38" x14ac:dyDescent="0.25">
      <c r="A3" s="46" t="s">
        <v>49</v>
      </c>
      <c r="B3" s="51">
        <v>45945</v>
      </c>
    </row>
    <row r="4" spans="1:38" x14ac:dyDescent="0.25">
      <c r="A4" s="46" t="s">
        <v>50</v>
      </c>
      <c r="B4" s="51"/>
    </row>
    <row r="5" spans="1:38" x14ac:dyDescent="0.25">
      <c r="A5" s="46" t="s">
        <v>51</v>
      </c>
      <c r="B5" s="52">
        <v>1</v>
      </c>
    </row>
    <row r="6" spans="1:38" x14ac:dyDescent="0.25">
      <c r="A6" s="55" t="s">
        <v>57</v>
      </c>
      <c r="B6" s="52">
        <v>7001</v>
      </c>
      <c r="C6" s="1"/>
    </row>
    <row r="7" spans="1:38" ht="15.75" x14ac:dyDescent="0.25">
      <c r="A7" s="55" t="s">
        <v>33</v>
      </c>
      <c r="B7" s="11">
        <v>5.3208000000000002</v>
      </c>
    </row>
    <row r="8" spans="1:38" s="48" customFormat="1" x14ac:dyDescent="0.25">
      <c r="A8" s="27" t="s">
        <v>0</v>
      </c>
      <c r="B8" s="27" t="s">
        <v>59</v>
      </c>
      <c r="C8" s="27" t="s">
        <v>1</v>
      </c>
      <c r="D8" s="27" t="s">
        <v>14</v>
      </c>
      <c r="E8" s="27" t="s">
        <v>47</v>
      </c>
      <c r="F8" s="56" t="s">
        <v>4</v>
      </c>
      <c r="G8" s="27" t="s">
        <v>6</v>
      </c>
      <c r="H8" s="27" t="s">
        <v>23</v>
      </c>
      <c r="I8" s="27" t="s">
        <v>2</v>
      </c>
      <c r="J8" s="27" t="s">
        <v>34</v>
      </c>
      <c r="K8" s="27" t="s">
        <v>5</v>
      </c>
      <c r="L8" s="27" t="s">
        <v>8</v>
      </c>
      <c r="M8" s="27" t="s">
        <v>12</v>
      </c>
      <c r="N8" s="27" t="s">
        <v>58</v>
      </c>
      <c r="O8" s="27" t="s">
        <v>10</v>
      </c>
      <c r="P8" s="27" t="s">
        <v>11</v>
      </c>
      <c r="Q8" s="27" t="s">
        <v>12</v>
      </c>
      <c r="R8" s="27" t="s">
        <v>26</v>
      </c>
      <c r="S8" s="27" t="s">
        <v>13</v>
      </c>
      <c r="T8" s="27"/>
      <c r="U8" s="27"/>
      <c r="V8" s="27" t="s">
        <v>35</v>
      </c>
      <c r="W8" s="27" t="s">
        <v>16</v>
      </c>
      <c r="X8" s="27" t="s">
        <v>17</v>
      </c>
      <c r="Y8" s="27" t="s">
        <v>18</v>
      </c>
      <c r="Z8" s="27" t="s">
        <v>19</v>
      </c>
      <c r="AA8" s="27" t="s">
        <v>20</v>
      </c>
      <c r="AB8" s="27" t="s">
        <v>21</v>
      </c>
      <c r="AC8" s="27" t="s">
        <v>22</v>
      </c>
      <c r="AD8" s="27" t="s">
        <v>24</v>
      </c>
      <c r="AE8" s="27" t="s">
        <v>36</v>
      </c>
      <c r="AF8" s="27" t="s">
        <v>25</v>
      </c>
    </row>
    <row r="9" spans="1:38" s="37" customFormat="1" x14ac:dyDescent="0.25">
      <c r="A9" s="4" t="s">
        <v>37</v>
      </c>
      <c r="B9" s="4"/>
      <c r="C9" s="28" t="s">
        <v>38</v>
      </c>
      <c r="D9" s="28" t="s">
        <v>39</v>
      </c>
      <c r="E9" s="29">
        <v>1</v>
      </c>
      <c r="F9" s="7">
        <v>0.1</v>
      </c>
      <c r="G9" s="12">
        <v>0.04</v>
      </c>
      <c r="H9" s="7">
        <f>IF(G9=4%,1.4%,2.5%)</f>
        <v>1.3999999999999999E-2</v>
      </c>
      <c r="I9" s="29">
        <v>180</v>
      </c>
      <c r="J9" s="6">
        <v>41.5</v>
      </c>
      <c r="K9" s="6">
        <f t="shared" ref="K9" si="0">I9*J9</f>
        <v>7470</v>
      </c>
      <c r="L9" s="30">
        <f>N9+(K$17/K$18*K9/I9)</f>
        <v>314.70777777777778</v>
      </c>
      <c r="M9" s="6">
        <f>L9/B$7/J9</f>
        <v>1.4252217610984206</v>
      </c>
      <c r="N9" s="30">
        <f>249.04+18.47</f>
        <v>267.51</v>
      </c>
      <c r="O9" s="30">
        <v>267.51</v>
      </c>
      <c r="P9" s="57">
        <v>500</v>
      </c>
      <c r="Q9" s="32">
        <f>P9/J9/B$7</f>
        <v>2.2643573844317277</v>
      </c>
      <c r="R9" s="16">
        <f>AF9/X9</f>
        <v>0.27725272727272732</v>
      </c>
      <c r="S9" s="33">
        <f t="shared" ref="S9" si="1">P9/0.97</f>
        <v>515.46391752577324</v>
      </c>
      <c r="T9" s="33"/>
      <c r="U9" s="33"/>
      <c r="V9" s="13">
        <f>I9*O9</f>
        <v>48151.799999999996</v>
      </c>
      <c r="W9" s="13">
        <f>I9*P9</f>
        <v>90000</v>
      </c>
      <c r="X9" s="13">
        <f t="shared" ref="X9" si="2">W9</f>
        <v>90000</v>
      </c>
      <c r="Y9" s="13">
        <f>(X9/(1+F9))*F9</f>
        <v>8181.8181818181811</v>
      </c>
      <c r="Z9" s="13">
        <f t="shared" ref="Z9" si="3">W9-Y9</f>
        <v>81818.181818181823</v>
      </c>
      <c r="AA9" s="13">
        <f>Z9*G9</f>
        <v>3272.727272727273</v>
      </c>
      <c r="AB9" s="14">
        <v>9.2499999999999999E-2</v>
      </c>
      <c r="AC9" s="13">
        <f t="shared" ref="AC9" si="4">Z9*AB9</f>
        <v>7568.1818181818189</v>
      </c>
      <c r="AD9" s="13">
        <f>(G9-H9)*(W9-Y9)</f>
        <v>2127.2727272727275</v>
      </c>
      <c r="AE9" s="13">
        <v>0</v>
      </c>
      <c r="AF9" s="15">
        <f>X9-V9-Y9-AA9-AC9+AD9-AE9</f>
        <v>24952.745454545457</v>
      </c>
      <c r="AG9" s="58">
        <f>AF9/X9</f>
        <v>0.27725272727272732</v>
      </c>
      <c r="AH9" s="35"/>
      <c r="AI9" s="36"/>
      <c r="AL9" s="34"/>
    </row>
    <row r="10" spans="1:38" s="37" customFormat="1" x14ac:dyDescent="0.25">
      <c r="A10" s="4"/>
      <c r="B10" s="4"/>
      <c r="C10" s="28"/>
      <c r="D10" s="28"/>
      <c r="E10" s="29"/>
      <c r="F10" s="7"/>
      <c r="G10" s="12"/>
      <c r="H10" s="7"/>
      <c r="I10" s="29"/>
      <c r="J10" s="6"/>
      <c r="K10" s="6"/>
      <c r="L10" s="30"/>
      <c r="M10" s="6"/>
      <c r="N10" s="30"/>
      <c r="O10" s="30"/>
      <c r="P10" s="31"/>
      <c r="Q10" s="32"/>
      <c r="R10" s="16"/>
      <c r="S10" s="33"/>
      <c r="T10" s="33"/>
      <c r="U10" s="33"/>
      <c r="V10" s="13"/>
      <c r="W10" s="13"/>
      <c r="X10" s="13"/>
      <c r="Y10" s="13"/>
      <c r="Z10" s="13"/>
      <c r="AA10" s="13"/>
      <c r="AB10" s="14"/>
      <c r="AC10" s="13"/>
      <c r="AD10" s="13"/>
      <c r="AE10" s="13"/>
      <c r="AF10" s="15"/>
      <c r="AG10" s="34"/>
      <c r="AH10" s="35"/>
      <c r="AI10" s="36"/>
      <c r="AL10" s="34"/>
    </row>
    <row r="11" spans="1:38" s="37" customFormat="1" x14ac:dyDescent="0.25">
      <c r="A11" s="4"/>
      <c r="B11" s="4"/>
      <c r="C11" s="28"/>
      <c r="D11" s="28"/>
      <c r="E11" s="29"/>
      <c r="F11" s="7"/>
      <c r="G11" s="12"/>
      <c r="H11" s="7"/>
      <c r="I11" s="29"/>
      <c r="J11" s="6"/>
      <c r="K11" s="6"/>
      <c r="L11" s="30"/>
      <c r="M11" s="6"/>
      <c r="N11" s="30"/>
      <c r="O11" s="30"/>
      <c r="P11" s="31"/>
      <c r="Q11" s="32"/>
      <c r="R11" s="16"/>
      <c r="S11" s="33"/>
      <c r="T11" s="33"/>
      <c r="U11" s="33"/>
      <c r="V11" s="13"/>
      <c r="W11" s="13"/>
      <c r="X11" s="13"/>
      <c r="Y11" s="13"/>
      <c r="Z11" s="13"/>
      <c r="AA11" s="13"/>
      <c r="AB11" s="14"/>
      <c r="AC11" s="13"/>
      <c r="AD11" s="13"/>
      <c r="AE11" s="13"/>
      <c r="AF11" s="15"/>
      <c r="AG11" s="34"/>
      <c r="AH11" s="35"/>
      <c r="AI11" s="36"/>
      <c r="AL11" s="34"/>
    </row>
    <row r="12" spans="1:38" x14ac:dyDescent="0.25">
      <c r="A12" s="17"/>
      <c r="H12" s="22"/>
      <c r="I12" s="18">
        <f>SUM(I9:I11)</f>
        <v>180</v>
      </c>
      <c r="J12" s="38"/>
      <c r="K12" s="39">
        <f>SUM(K9:K11)</f>
        <v>7470</v>
      </c>
      <c r="L12" s="38"/>
      <c r="M12" s="38"/>
      <c r="N12" s="38"/>
      <c r="R12" s="40">
        <f>AF12/X12</f>
        <v>0.27725272727272732</v>
      </c>
      <c r="S12" s="20"/>
      <c r="T12" s="20"/>
      <c r="U12" s="20"/>
      <c r="V12" s="21">
        <f t="shared" ref="V12:AA12" si="5">SUM(V9:V11)</f>
        <v>48151.799999999996</v>
      </c>
      <c r="W12" s="21">
        <f t="shared" si="5"/>
        <v>90000</v>
      </c>
      <c r="X12" s="21">
        <f t="shared" si="5"/>
        <v>90000</v>
      </c>
      <c r="Y12" s="21">
        <f t="shared" si="5"/>
        <v>8181.8181818181811</v>
      </c>
      <c r="Z12" s="21">
        <f t="shared" si="5"/>
        <v>81818.181818181823</v>
      </c>
      <c r="AA12" s="21">
        <f t="shared" si="5"/>
        <v>3272.727272727273</v>
      </c>
      <c r="AB12" s="22"/>
      <c r="AC12" s="21">
        <f>SUM(AC9:AC11)</f>
        <v>7568.1818181818189</v>
      </c>
      <c r="AD12" s="21">
        <f>SUM(AD9:AD11)</f>
        <v>2127.2727272727275</v>
      </c>
      <c r="AE12" s="21">
        <f>SUM(AE9:AE11)</f>
        <v>0</v>
      </c>
      <c r="AF12" s="21">
        <f>SUM(AF9:AF11)</f>
        <v>24952.745454545457</v>
      </c>
      <c r="AG12" s="59">
        <f>AF12/X12</f>
        <v>0.27725272727272732</v>
      </c>
    </row>
    <row r="13" spans="1:38" ht="14.65" customHeight="1" x14ac:dyDescent="0.25">
      <c r="D13" s="11"/>
      <c r="E13" s="11"/>
      <c r="L13" s="25"/>
      <c r="N13" s="25"/>
      <c r="O13" s="25"/>
      <c r="S13" s="11"/>
      <c r="T13" s="11"/>
      <c r="U13" s="11"/>
    </row>
    <row r="14" spans="1:38" ht="15" customHeight="1" x14ac:dyDescent="0.25">
      <c r="D14" s="17"/>
      <c r="E14" s="17"/>
      <c r="J14" s="2" t="s">
        <v>40</v>
      </c>
      <c r="K14" s="33">
        <v>4467.25</v>
      </c>
      <c r="L14" s="33"/>
      <c r="O14" s="25"/>
      <c r="P14" s="11"/>
      <c r="S14" s="17"/>
      <c r="T14" s="17"/>
      <c r="U14" s="17"/>
    </row>
    <row r="15" spans="1:38" ht="15.75" x14ac:dyDescent="0.25">
      <c r="J15" s="2" t="s">
        <v>41</v>
      </c>
      <c r="K15" s="33">
        <v>7</v>
      </c>
      <c r="L15" s="33"/>
      <c r="P15" s="41" t="s">
        <v>42</v>
      </c>
    </row>
    <row r="16" spans="1:38" x14ac:dyDescent="0.25">
      <c r="D16" s="17"/>
      <c r="E16" s="17"/>
      <c r="J16" s="2" t="s">
        <v>43</v>
      </c>
      <c r="K16" s="33">
        <v>4021.35</v>
      </c>
      <c r="L16" s="33"/>
      <c r="S16" s="17"/>
      <c r="T16" s="17"/>
      <c r="U16" s="17"/>
    </row>
    <row r="17" spans="6:16" x14ac:dyDescent="0.25">
      <c r="J17" s="42" t="s">
        <v>44</v>
      </c>
      <c r="K17" s="43">
        <f>SUM(K14:K16)</f>
        <v>8495.6</v>
      </c>
      <c r="L17" s="43">
        <f>SUM(L14:L16)</f>
        <v>0</v>
      </c>
    </row>
    <row r="18" spans="6:16" x14ac:dyDescent="0.25">
      <c r="J18" s="44"/>
      <c r="K18" s="45">
        <v>7470</v>
      </c>
      <c r="L18" s="45"/>
      <c r="P18" s="17"/>
    </row>
    <row r="19" spans="6:16" x14ac:dyDescent="0.25">
      <c r="F19" s="3" t="s">
        <v>62</v>
      </c>
      <c r="G19" s="3">
        <v>2000</v>
      </c>
      <c r="H19" s="3" t="s">
        <v>63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Nacional</vt:lpstr>
      <vt:lpstr>Importado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Rossa</dc:creator>
  <cp:lastModifiedBy>Sandro Vieira</cp:lastModifiedBy>
  <dcterms:created xsi:type="dcterms:W3CDTF">2025-10-15T11:27:25Z</dcterms:created>
  <dcterms:modified xsi:type="dcterms:W3CDTF">2026-01-07T12:21:47Z</dcterms:modified>
</cp:coreProperties>
</file>